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/>
  <bookViews>
    <workbookView xWindow="0" yWindow="0" windowWidth="19420" windowHeight="10610"/>
  </bookViews>
  <sheets>
    <sheet name="List1" sheetId="1" r:id="rId1"/>
    <sheet name="List2" sheetId="2" r:id="rId2"/>
  </sheets>
  <calcPr calcId="1456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3" i="1" l="1"/>
  <c r="F23" i="1"/>
  <c r="G23" i="1"/>
  <c r="H23" i="1"/>
  <c r="I23" i="1"/>
  <c r="J23" i="1"/>
  <c r="K23" i="1"/>
  <c r="L23" i="1"/>
  <c r="M23" i="1"/>
  <c r="N23" i="1"/>
  <c r="E24" i="1"/>
  <c r="F24" i="1"/>
  <c r="G24" i="1"/>
  <c r="H24" i="1"/>
  <c r="I24" i="1"/>
  <c r="J24" i="1"/>
  <c r="K24" i="1"/>
  <c r="L24" i="1"/>
  <c r="M24" i="1"/>
  <c r="N24" i="1"/>
  <c r="E25" i="1"/>
  <c r="F25" i="1"/>
  <c r="G25" i="1"/>
  <c r="H25" i="1"/>
  <c r="I25" i="1"/>
  <c r="J25" i="1"/>
  <c r="K25" i="1"/>
  <c r="L25" i="1"/>
  <c r="M25" i="1"/>
  <c r="N25" i="1"/>
  <c r="E26" i="1"/>
  <c r="F26" i="1"/>
  <c r="G26" i="1"/>
  <c r="H26" i="1"/>
  <c r="I26" i="1"/>
  <c r="J26" i="1"/>
  <c r="K26" i="1"/>
  <c r="L26" i="1"/>
  <c r="M26" i="1"/>
  <c r="N26" i="1"/>
  <c r="E27" i="1"/>
  <c r="F27" i="1"/>
  <c r="G27" i="1"/>
  <c r="H27" i="1"/>
  <c r="I27" i="1"/>
  <c r="J27" i="1"/>
  <c r="K27" i="1"/>
  <c r="L27" i="1"/>
  <c r="M27" i="1"/>
  <c r="N27" i="1"/>
  <c r="E28" i="1"/>
  <c r="F28" i="1"/>
  <c r="G28" i="1"/>
  <c r="H28" i="1"/>
  <c r="I28" i="1"/>
  <c r="J28" i="1"/>
  <c r="K28" i="1"/>
  <c r="L28" i="1"/>
  <c r="M28" i="1"/>
  <c r="N28" i="1"/>
  <c r="E29" i="1"/>
  <c r="F29" i="1"/>
  <c r="G29" i="1"/>
  <c r="H29" i="1"/>
  <c r="I29" i="1"/>
  <c r="J29" i="1"/>
  <c r="K29" i="1"/>
  <c r="L29" i="1"/>
  <c r="M29" i="1"/>
  <c r="N29" i="1"/>
  <c r="E30" i="1"/>
  <c r="F30" i="1"/>
  <c r="G30" i="1"/>
  <c r="H30" i="1"/>
  <c r="I30" i="1"/>
  <c r="J30" i="1"/>
  <c r="K30" i="1"/>
  <c r="L30" i="1"/>
  <c r="M30" i="1"/>
  <c r="N30" i="1"/>
  <c r="E31" i="1"/>
  <c r="F31" i="1"/>
  <c r="G31" i="1"/>
  <c r="H31" i="1"/>
  <c r="I31" i="1"/>
  <c r="J31" i="1"/>
  <c r="K31" i="1"/>
  <c r="L31" i="1"/>
  <c r="M31" i="1"/>
  <c r="N31" i="1"/>
  <c r="E32" i="1"/>
  <c r="F32" i="1"/>
  <c r="G32" i="1"/>
  <c r="H32" i="1"/>
  <c r="I32" i="1"/>
  <c r="J32" i="1"/>
  <c r="K32" i="1"/>
  <c r="L32" i="1"/>
  <c r="M32" i="1"/>
  <c r="N32" i="1"/>
  <c r="E33" i="1"/>
  <c r="F33" i="1"/>
  <c r="G33" i="1"/>
  <c r="H33" i="1"/>
  <c r="I33" i="1"/>
  <c r="J33" i="1"/>
  <c r="K33" i="1"/>
  <c r="L33" i="1"/>
  <c r="M33" i="1"/>
  <c r="N33" i="1"/>
  <c r="E34" i="1"/>
  <c r="F34" i="1"/>
  <c r="G34" i="1"/>
  <c r="H34" i="1"/>
  <c r="I34" i="1"/>
  <c r="J34" i="1"/>
  <c r="K34" i="1"/>
  <c r="L34" i="1"/>
  <c r="M34" i="1"/>
  <c r="N34" i="1"/>
  <c r="N22" i="1"/>
  <c r="M22" i="1"/>
  <c r="L22" i="1"/>
  <c r="K22" i="1"/>
  <c r="J22" i="1"/>
  <c r="I22" i="1"/>
  <c r="H22" i="1"/>
  <c r="G22" i="1"/>
  <c r="F22" i="1"/>
  <c r="E22" i="1"/>
  <c r="D23" i="1"/>
  <c r="D24" i="1"/>
  <c r="D25" i="1"/>
  <c r="D26" i="1"/>
  <c r="D27" i="1"/>
  <c r="D28" i="1"/>
  <c r="D29" i="1"/>
  <c r="D30" i="1"/>
  <c r="D31" i="1"/>
  <c r="D32" i="1"/>
  <c r="D33" i="1"/>
  <c r="D34" i="1"/>
  <c r="D22" i="1"/>
</calcChain>
</file>

<file path=xl/sharedStrings.xml><?xml version="1.0" encoding="utf-8"?>
<sst xmlns="http://schemas.openxmlformats.org/spreadsheetml/2006/main" count="180" uniqueCount="70">
  <si>
    <t>Kraj</t>
  </si>
  <si>
    <t>Jihomoravský</t>
  </si>
  <si>
    <t>Královéhradecký</t>
  </si>
  <si>
    <t>Moravskoslezský</t>
  </si>
  <si>
    <t>Zlínský</t>
  </si>
  <si>
    <t>Vysočina</t>
  </si>
  <si>
    <t>Olomoucký</t>
  </si>
  <si>
    <t>Ústecký</t>
  </si>
  <si>
    <t>Karlovarský</t>
  </si>
  <si>
    <t>Liberecký</t>
  </si>
  <si>
    <t>Plzeňský</t>
  </si>
  <si>
    <t>Středočeský</t>
  </si>
  <si>
    <t>Jihočeský</t>
  </si>
  <si>
    <t>Průměr ČR</t>
  </si>
  <si>
    <t>Přijmy z OH
(Kč/obyvatele)</t>
  </si>
  <si>
    <t>Pardubický</t>
  </si>
  <si>
    <t>Produkce O odpadů 
(kg/obyvatele)</t>
  </si>
  <si>
    <t>Produkce N odpadů
(kg/obyvatele)</t>
  </si>
  <si>
    <t>Produkce odpadů - celková
(kg/obyvatele)</t>
  </si>
  <si>
    <t>Produkce komunálních odpadů (skupina 20)
kg/obyvatele</t>
  </si>
  <si>
    <t>Produkce SKO
(kg/obyvatele)</t>
  </si>
  <si>
    <t>Počet
 obyvatel</t>
  </si>
  <si>
    <t>Produkce plast
(kg/obyvatele)</t>
  </si>
  <si>
    <t>Produkce papír
(kg/obyvatele)</t>
  </si>
  <si>
    <t>Produkce sklo
(kg/obyvatele)</t>
  </si>
  <si>
    <t>Produkce kovy
(kg/obyvatele)</t>
  </si>
  <si>
    <t>Náklady za SKO
(Kč/t)</t>
  </si>
  <si>
    <t>Náklady za SKO
(Kč/obyvatele)</t>
  </si>
  <si>
    <t>Náklady na OH
(Kč/obyvatele)</t>
  </si>
  <si>
    <t>za ČR</t>
  </si>
  <si>
    <t>Náklady na tříděný sběr
(Kč/t)</t>
  </si>
  <si>
    <t>Náklady na tříděný sběr
(Kč/obyvatele)</t>
  </si>
  <si>
    <t>Produkce BRO ze zahrad a parků</t>
  </si>
  <si>
    <t>Data pro kalkulačku</t>
  </si>
  <si>
    <t>region</t>
  </si>
  <si>
    <t>population</t>
  </si>
  <si>
    <t>nakladyNaOhKc</t>
  </si>
  <si>
    <t>nakladyZOhKc</t>
  </si>
  <si>
    <t>nakladyTridenySberTun</t>
  </si>
  <si>
    <t>nakladyTridenySberKc</t>
  </si>
  <si>
    <t>nakladySkoTun</t>
  </si>
  <si>
    <t>nakladySkoKc</t>
  </si>
  <si>
    <t>produkceOdpadCelkova</t>
  </si>
  <si>
    <t>produkceOdpadO</t>
  </si>
  <si>
    <t>produkceOdpadN</t>
  </si>
  <si>
    <t>produkceKomunal</t>
  </si>
  <si>
    <t>produkceSko</t>
  </si>
  <si>
    <t>produkcePlast</t>
  </si>
  <si>
    <t>produkcePapir</t>
  </si>
  <si>
    <t>produkceSklo</t>
  </si>
  <si>
    <t>produkceKovy</t>
  </si>
  <si>
    <t>produkceBro</t>
  </si>
  <si>
    <t>regionCode</t>
  </si>
  <si>
    <t>jm</t>
  </si>
  <si>
    <t>kr</t>
  </si>
  <si>
    <t>ms</t>
  </si>
  <si>
    <t>zl</t>
  </si>
  <si>
    <t>vy</t>
  </si>
  <si>
    <t>ol</t>
  </si>
  <si>
    <t>pa</t>
  </si>
  <si>
    <t>us</t>
  </si>
  <si>
    <t>ka</t>
  </si>
  <si>
    <t>li</t>
  </si>
  <si>
    <t>pl</t>
  </si>
  <si>
    <t>sc</t>
  </si>
  <si>
    <t>jc</t>
  </si>
  <si>
    <t>cr</t>
  </si>
  <si>
    <t>"</t>
  </si>
  <si>
    <t>,</t>
  </si>
  <si>
    <t>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</si>
</sst>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8"/>
      <color theme="1"/>
      <name val="Calibri"/>
      <family val="2"/>
      <charset val="238"/>
      <scheme val="minor"/>
    </font>
    <font>
      <sz val="8"/>
      <color theme="1"/>
      <name val="Calibri"/>
      <family val="2"/>
      <charset val="238"/>
      <scheme val="minor"/>
    </font>
    <font>
      <sz val="11"/>
      <color theme="0" tint="-0.499984740745262"/>
      <name val="Calibri"/>
      <family val="2"/>
      <charset val="23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/>
    </xf>
    <xf numFmtId="3" fontId="0" fillId="3" borderId="3" xfId="0" applyNumberForma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3" fontId="0" fillId="3" borderId="6" xfId="0" applyNumberForma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3" fontId="1" fillId="3" borderId="13" xfId="0" applyNumberFormat="1" applyFont="1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0" borderId="7" xfId="0" applyBorder="1"/>
    <xf numFmtId="0" fontId="0" fillId="0" borderId="12" xfId="0" applyBorder="1"/>
    <xf numFmtId="0" fontId="0" fillId="3" borderId="12" xfId="0" applyFill="1" applyBorder="1" applyAlignment="1">
      <alignment horizontal="center" vertical="center"/>
    </xf>
    <xf numFmtId="0" fontId="0" fillId="0" borderId="19" xfId="0" applyBorder="1"/>
    <xf numFmtId="0" fontId="1" fillId="0" borderId="12" xfId="0" applyFont="1" applyBorder="1" applyAlignment="1">
      <alignment horizontal="center" vertical="center"/>
    </xf>
    <xf numFmtId="0" fontId="1" fillId="4" borderId="15" xfId="0" applyFont="1" applyFill="1" applyBorder="1" applyAlignment="1">
      <alignment horizontal="center" vertical="center"/>
    </xf>
    <xf numFmtId="0" fontId="1" fillId="4" borderId="17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 wrapText="1"/>
    </xf>
    <xf numFmtId="0" fontId="1" fillId="0" borderId="14" xfId="0" applyFont="1" applyFill="1" applyBorder="1" applyAlignment="1">
      <alignment horizontal="center" vertical="center"/>
    </xf>
    <xf numFmtId="0" fontId="1" fillId="0" borderId="0" xfId="0" applyFont="1"/>
    <xf numFmtId="0" fontId="3" fillId="0" borderId="0" xfId="0" applyFont="1" applyFill="1"/>
    <xf numFmtId="0" fontId="2" fillId="5" borderId="20" xfId="0" applyFont="1" applyFill="1" applyBorder="1" applyAlignment="1">
      <alignment horizontal="center" vertical="center"/>
    </xf>
    <xf numFmtId="0" fontId="2" fillId="5" borderId="0" xfId="0" applyFont="1" applyFill="1" applyBorder="1" applyAlignment="1">
      <alignment horizontal="center" vertical="center" wrapText="1"/>
    </xf>
    <xf numFmtId="0" fontId="2" fillId="6" borderId="0" xfId="0" applyFont="1" applyFill="1" applyBorder="1" applyAlignment="1">
      <alignment horizontal="center" vertical="center" wrapText="1"/>
    </xf>
    <xf numFmtId="3" fontId="0" fillId="0" borderId="0" xfId="0" applyNumberFormat="1"/>
    <xf numFmtId="0" fontId="4" fillId="3" borderId="5" xfId="0" applyFont="1" applyFill="1" applyBorder="1" applyAlignment="1">
      <alignment horizontal="center" vertical="center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iv Office">
  <a:themeElements>
    <a:clrScheme name="Kancelář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celář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celář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34"/>
  <sheetViews>
    <sheetView tabSelected="1" workbookViewId="0">
      <selection activeCell="E9" sqref="E9"/>
    </sheetView>
  </sheetViews>
  <sheetFormatPr defaultRowHeight="14.5" x14ac:dyDescent="0.35"/>
  <cols>
    <col min="2" max="2" width="13.7265625" customWidth="1"/>
    <col min="3" max="3" width="11.26953125" customWidth="1"/>
    <col min="4" max="4" width="14.26953125" customWidth="1"/>
    <col min="5" max="5" width="14" customWidth="1"/>
    <col min="6" max="6" width="10.453125" customWidth="1"/>
    <col min="7" max="7" width="13.26953125" customWidth="1"/>
    <col min="8" max="8" width="11" customWidth="1"/>
    <col min="9" max="9" width="11.1796875" customWidth="1"/>
    <col min="10" max="10" width="8.54296875" customWidth="1"/>
    <col min="11" max="11" width="8.26953125" customWidth="1"/>
    <col min="12" max="12" width="6.26953125" customWidth="1"/>
    <col min="13" max="13" width="19.7265625" customWidth="1"/>
    <col min="14" max="14" width="11.54296875" customWidth="1"/>
    <col min="15" max="15" width="9.1796875" customWidth="1"/>
    <col min="16" max="16" width="9" customWidth="1"/>
    <col min="19" max="19" width="9.26953125" customWidth="1"/>
  </cols>
  <sheetData>
    <row r="1" spans="1:19" x14ac:dyDescent="0.35">
      <c r="B1" s="30" t="s">
        <v>33</v>
      </c>
    </row>
    <row r="2" spans="1:19" ht="15" thickBot="1" x14ac:dyDescent="0.4"/>
    <row r="3" spans="1:19" ht="69.650000000000006" customHeight="1" thickBot="1" x14ac:dyDescent="0.4">
      <c r="B3" s="16" t="s">
        <v>0</v>
      </c>
      <c r="C3" s="9" t="s">
        <v>21</v>
      </c>
      <c r="D3" s="9" t="s">
        <v>28</v>
      </c>
      <c r="E3" s="9" t="s">
        <v>14</v>
      </c>
      <c r="F3" s="9" t="s">
        <v>30</v>
      </c>
      <c r="G3" s="9" t="s">
        <v>31</v>
      </c>
      <c r="H3" s="9" t="s">
        <v>26</v>
      </c>
      <c r="I3" s="9" t="s">
        <v>27</v>
      </c>
      <c r="J3" s="1" t="s">
        <v>18</v>
      </c>
      <c r="K3" s="1" t="s">
        <v>16</v>
      </c>
      <c r="L3" s="1" t="s">
        <v>17</v>
      </c>
      <c r="M3" s="9" t="s">
        <v>19</v>
      </c>
      <c r="N3" s="9" t="s">
        <v>20</v>
      </c>
      <c r="O3" s="9" t="s">
        <v>22</v>
      </c>
      <c r="P3" s="9" t="s">
        <v>23</v>
      </c>
      <c r="Q3" s="9" t="s">
        <v>24</v>
      </c>
      <c r="R3" s="9" t="s">
        <v>25</v>
      </c>
      <c r="S3" s="28" t="s">
        <v>32</v>
      </c>
    </row>
    <row r="4" spans="1:19" s="31" customFormat="1" ht="34" customHeight="1" thickBot="1" x14ac:dyDescent="0.3">
      <c r="A4" s="31" t="s">
        <v>52</v>
      </c>
      <c r="B4" s="32" t="s">
        <v>34</v>
      </c>
      <c r="C4" s="33" t="s">
        <v>35</v>
      </c>
      <c r="D4" s="33" t="s">
        <v>36</v>
      </c>
      <c r="E4" s="33" t="s">
        <v>37</v>
      </c>
      <c r="F4" s="33" t="s">
        <v>38</v>
      </c>
      <c r="G4" s="34" t="s">
        <v>39</v>
      </c>
      <c r="H4" s="34" t="s">
        <v>40</v>
      </c>
      <c r="I4" s="34" t="s">
        <v>41</v>
      </c>
      <c r="J4" s="34" t="s">
        <v>42</v>
      </c>
      <c r="K4" s="34" t="s">
        <v>43</v>
      </c>
      <c r="L4" s="34" t="s">
        <v>44</v>
      </c>
      <c r="M4" s="34" t="s">
        <v>45</v>
      </c>
      <c r="N4" s="34" t="s">
        <v>46</v>
      </c>
      <c r="O4" s="34" t="s">
        <v>47</v>
      </c>
      <c r="P4" s="34" t="s">
        <v>48</v>
      </c>
      <c r="Q4" s="34" t="s">
        <v>49</v>
      </c>
      <c r="R4" s="34" t="s">
        <v>50</v>
      </c>
      <c r="S4" s="34" t="s">
        <v>51</v>
      </c>
    </row>
    <row r="5" spans="1:19" ht="33.65" customHeight="1" x14ac:dyDescent="0.35">
      <c r="A5" t="s">
        <v>53</v>
      </c>
      <c r="B5" s="26" t="s">
        <v>1</v>
      </c>
      <c r="C5" s="11">
        <v>1184729</v>
      </c>
      <c r="D5" s="10">
        <v>949</v>
      </c>
      <c r="E5" s="10">
        <v>628</v>
      </c>
      <c r="F5" s="11">
        <v>3293</v>
      </c>
      <c r="G5" s="10">
        <v>109</v>
      </c>
      <c r="H5" s="10">
        <v>2731</v>
      </c>
      <c r="I5" s="10">
        <v>500</v>
      </c>
      <c r="J5" s="2">
        <v>4437</v>
      </c>
      <c r="K5" s="2">
        <v>4286</v>
      </c>
      <c r="L5" s="3">
        <v>151</v>
      </c>
      <c r="M5" s="10">
        <v>512</v>
      </c>
      <c r="N5" s="19">
        <v>251</v>
      </c>
      <c r="O5" s="21"/>
      <c r="P5" s="21"/>
      <c r="Q5" s="21"/>
      <c r="R5" s="22"/>
    </row>
    <row r="6" spans="1:19" ht="33.65" customHeight="1" x14ac:dyDescent="0.35">
      <c r="A6" t="s">
        <v>54</v>
      </c>
      <c r="B6" s="27" t="s">
        <v>2</v>
      </c>
      <c r="C6" s="13">
        <v>550688</v>
      </c>
      <c r="D6" s="12">
        <v>969</v>
      </c>
      <c r="E6" s="12">
        <v>521</v>
      </c>
      <c r="F6" s="13">
        <v>4294</v>
      </c>
      <c r="G6" s="12">
        <v>181</v>
      </c>
      <c r="H6" s="12">
        <v>2385</v>
      </c>
      <c r="I6" s="12">
        <v>447</v>
      </c>
      <c r="J6" s="4">
        <v>3045</v>
      </c>
      <c r="K6" s="4">
        <v>2933</v>
      </c>
      <c r="L6" s="5">
        <v>112</v>
      </c>
      <c r="M6" s="12">
        <v>553</v>
      </c>
      <c r="N6" s="20">
        <v>259</v>
      </c>
      <c r="O6" s="22"/>
      <c r="P6" s="22"/>
      <c r="Q6" s="22"/>
      <c r="R6" s="22"/>
    </row>
    <row r="7" spans="1:19" ht="33.65" customHeight="1" x14ac:dyDescent="0.35">
      <c r="A7" t="s">
        <v>55</v>
      </c>
      <c r="B7" s="27" t="s">
        <v>3</v>
      </c>
      <c r="C7" s="13">
        <v>1204346</v>
      </c>
      <c r="D7" s="12">
        <v>1016</v>
      </c>
      <c r="E7" s="12">
        <v>569</v>
      </c>
      <c r="F7" s="13">
        <v>3933</v>
      </c>
      <c r="G7" s="12">
        <v>146</v>
      </c>
      <c r="H7" s="12">
        <v>2474</v>
      </c>
      <c r="I7" s="12">
        <v>464</v>
      </c>
      <c r="J7" s="4">
        <v>3844</v>
      </c>
      <c r="K7" s="4">
        <v>3528</v>
      </c>
      <c r="L7" s="5">
        <v>316</v>
      </c>
      <c r="M7" s="12">
        <v>542</v>
      </c>
      <c r="N7" s="20">
        <v>245</v>
      </c>
      <c r="O7" s="22"/>
      <c r="P7" s="22"/>
      <c r="Q7" s="22"/>
      <c r="R7" s="22"/>
    </row>
    <row r="8" spans="1:19" ht="33.65" customHeight="1" x14ac:dyDescent="0.35">
      <c r="A8" t="s">
        <v>56</v>
      </c>
      <c r="B8" s="27" t="s">
        <v>4</v>
      </c>
      <c r="C8" s="13">
        <v>582860</v>
      </c>
      <c r="D8" s="12">
        <v>1028</v>
      </c>
      <c r="E8" s="12">
        <v>536</v>
      </c>
      <c r="F8" s="13">
        <v>3970</v>
      </c>
      <c r="G8" s="12">
        <v>137</v>
      </c>
      <c r="H8" s="12">
        <v>2573</v>
      </c>
      <c r="I8" s="12">
        <v>443</v>
      </c>
      <c r="J8" s="4">
        <v>2507</v>
      </c>
      <c r="K8" s="4">
        <v>2353</v>
      </c>
      <c r="L8" s="5">
        <v>154</v>
      </c>
      <c r="M8" s="12">
        <v>500</v>
      </c>
      <c r="N8" s="20">
        <v>226</v>
      </c>
      <c r="O8" s="22"/>
      <c r="P8" s="22"/>
      <c r="Q8" s="22"/>
      <c r="R8" s="22"/>
    </row>
    <row r="9" spans="1:19" ht="33.65" customHeight="1" x14ac:dyDescent="0.35">
      <c r="A9" t="s">
        <v>57</v>
      </c>
      <c r="B9" s="27" t="s">
        <v>5</v>
      </c>
      <c r="C9" s="13">
        <v>509019</v>
      </c>
      <c r="D9" s="12">
        <v>1034</v>
      </c>
      <c r="E9" s="12">
        <v>623</v>
      </c>
      <c r="F9" s="13">
        <v>3854</v>
      </c>
      <c r="G9" s="12">
        <v>170</v>
      </c>
      <c r="H9" s="12">
        <v>2502</v>
      </c>
      <c r="I9" s="12">
        <v>460</v>
      </c>
      <c r="J9" s="4">
        <v>3276</v>
      </c>
      <c r="K9" s="4">
        <v>3136</v>
      </c>
      <c r="L9" s="5">
        <v>140</v>
      </c>
      <c r="M9" s="12">
        <v>556</v>
      </c>
      <c r="N9" s="20">
        <v>238</v>
      </c>
      <c r="O9" s="25" t="s">
        <v>29</v>
      </c>
      <c r="P9" s="25" t="s">
        <v>29</v>
      </c>
      <c r="Q9" s="25" t="s">
        <v>29</v>
      </c>
      <c r="R9" s="25" t="s">
        <v>29</v>
      </c>
      <c r="S9" s="29" t="s">
        <v>29</v>
      </c>
    </row>
    <row r="10" spans="1:19" ht="33.65" customHeight="1" x14ac:dyDescent="0.35">
      <c r="A10" t="s">
        <v>58</v>
      </c>
      <c r="B10" s="27" t="s">
        <v>6</v>
      </c>
      <c r="C10" s="13">
        <v>632547</v>
      </c>
      <c r="D10" s="12">
        <v>1041</v>
      </c>
      <c r="E10" s="12">
        <v>747</v>
      </c>
      <c r="F10" s="13">
        <v>3212</v>
      </c>
      <c r="G10" s="12">
        <v>123</v>
      </c>
      <c r="H10" s="12">
        <v>2255</v>
      </c>
      <c r="I10" s="12">
        <v>443</v>
      </c>
      <c r="J10" s="4">
        <v>3868</v>
      </c>
      <c r="K10" s="4">
        <v>3752</v>
      </c>
      <c r="L10" s="5">
        <v>116</v>
      </c>
      <c r="M10" s="12">
        <v>580</v>
      </c>
      <c r="N10" s="20">
        <v>259</v>
      </c>
      <c r="O10" s="22"/>
      <c r="P10" s="22"/>
      <c r="Q10" s="22"/>
      <c r="R10" s="22"/>
    </row>
    <row r="11" spans="1:19" ht="33.65" customHeight="1" x14ac:dyDescent="0.35">
      <c r="A11" t="s">
        <v>59</v>
      </c>
      <c r="B11" s="27" t="s">
        <v>15</v>
      </c>
      <c r="C11" s="13">
        <v>519125</v>
      </c>
      <c r="D11" s="12">
        <v>1050</v>
      </c>
      <c r="E11" s="12">
        <v>696</v>
      </c>
      <c r="F11" s="13">
        <v>3976</v>
      </c>
      <c r="G11" s="12">
        <v>146</v>
      </c>
      <c r="H11" s="12">
        <v>2424</v>
      </c>
      <c r="I11" s="12">
        <v>476</v>
      </c>
      <c r="J11" s="4">
        <v>2889</v>
      </c>
      <c r="K11" s="4">
        <v>2721</v>
      </c>
      <c r="L11" s="5">
        <v>168</v>
      </c>
      <c r="M11" s="12">
        <v>571</v>
      </c>
      <c r="N11" s="20">
        <v>247</v>
      </c>
      <c r="O11" s="23">
        <v>25.2</v>
      </c>
      <c r="P11" s="23">
        <v>49.8</v>
      </c>
      <c r="Q11" s="23">
        <v>20.5</v>
      </c>
      <c r="R11" s="23">
        <v>7.5</v>
      </c>
    </row>
    <row r="12" spans="1:19" ht="33.65" customHeight="1" x14ac:dyDescent="0.35">
      <c r="A12" t="s">
        <v>60</v>
      </c>
      <c r="B12" s="27" t="s">
        <v>7</v>
      </c>
      <c r="C12" s="13">
        <v>820580</v>
      </c>
      <c r="D12" s="12">
        <v>1086</v>
      </c>
      <c r="E12" s="12">
        <v>474</v>
      </c>
      <c r="F12" s="13">
        <v>5466</v>
      </c>
      <c r="G12" s="12">
        <v>157</v>
      </c>
      <c r="H12" s="12">
        <v>2587</v>
      </c>
      <c r="I12" s="12">
        <v>516</v>
      </c>
      <c r="J12" s="4">
        <v>3570</v>
      </c>
      <c r="K12" s="4">
        <v>3419</v>
      </c>
      <c r="L12" s="5">
        <v>151</v>
      </c>
      <c r="M12" s="12">
        <v>523</v>
      </c>
      <c r="N12" s="20">
        <v>277</v>
      </c>
      <c r="O12" s="22"/>
      <c r="P12" s="22"/>
      <c r="Q12" s="22"/>
      <c r="R12" s="22"/>
    </row>
    <row r="13" spans="1:19" ht="33.65" customHeight="1" x14ac:dyDescent="0.35">
      <c r="A13" t="s">
        <v>61</v>
      </c>
      <c r="B13" s="27" t="s">
        <v>8</v>
      </c>
      <c r="C13" s="13">
        <v>295285</v>
      </c>
      <c r="D13" s="12">
        <v>1122</v>
      </c>
      <c r="E13" s="12">
        <v>460</v>
      </c>
      <c r="F13" s="13">
        <v>3615</v>
      </c>
      <c r="G13" s="12">
        <v>149</v>
      </c>
      <c r="H13" s="12">
        <v>3015</v>
      </c>
      <c r="I13" s="12">
        <v>584</v>
      </c>
      <c r="J13" s="4">
        <v>3134</v>
      </c>
      <c r="K13" s="4">
        <v>2968</v>
      </c>
      <c r="L13" s="5">
        <v>166</v>
      </c>
      <c r="M13" s="12">
        <v>494</v>
      </c>
      <c r="N13" s="20">
        <v>268</v>
      </c>
      <c r="O13" s="22"/>
      <c r="P13" s="22"/>
      <c r="Q13" s="22"/>
      <c r="R13" s="22"/>
    </row>
    <row r="14" spans="1:19" ht="33.65" customHeight="1" x14ac:dyDescent="0.35">
      <c r="A14" t="s">
        <v>62</v>
      </c>
      <c r="B14" s="27" t="s">
        <v>9</v>
      </c>
      <c r="C14" s="13">
        <v>441608</v>
      </c>
      <c r="D14" s="12">
        <v>1159</v>
      </c>
      <c r="E14" s="12">
        <v>543</v>
      </c>
      <c r="F14" s="13">
        <v>5414</v>
      </c>
      <c r="G14" s="12">
        <v>181</v>
      </c>
      <c r="H14" s="12">
        <v>3228</v>
      </c>
      <c r="I14" s="12">
        <v>590</v>
      </c>
      <c r="J14" s="4">
        <v>2338</v>
      </c>
      <c r="K14" s="4">
        <v>2142</v>
      </c>
      <c r="L14" s="5">
        <v>196</v>
      </c>
      <c r="M14" s="12">
        <v>533</v>
      </c>
      <c r="N14" s="20">
        <v>287</v>
      </c>
      <c r="O14" s="22"/>
      <c r="P14" s="22"/>
      <c r="Q14" s="22"/>
      <c r="R14" s="22"/>
    </row>
    <row r="15" spans="1:19" ht="33.65" customHeight="1" x14ac:dyDescent="0.35">
      <c r="A15" t="s">
        <v>63</v>
      </c>
      <c r="B15" s="27" t="s">
        <v>10</v>
      </c>
      <c r="C15" s="13">
        <v>582601</v>
      </c>
      <c r="D15" s="12">
        <v>1269</v>
      </c>
      <c r="E15" s="12">
        <v>587</v>
      </c>
      <c r="F15" s="13">
        <v>5056</v>
      </c>
      <c r="G15" s="12">
        <v>219</v>
      </c>
      <c r="H15" s="12">
        <v>2716</v>
      </c>
      <c r="I15" s="12">
        <v>527</v>
      </c>
      <c r="J15" s="4">
        <v>3371</v>
      </c>
      <c r="K15" s="4">
        <v>3255</v>
      </c>
      <c r="L15" s="5">
        <v>116</v>
      </c>
      <c r="M15" s="12">
        <v>538</v>
      </c>
      <c r="N15" s="20">
        <v>260</v>
      </c>
      <c r="O15" s="22"/>
      <c r="P15" s="22"/>
      <c r="Q15" s="22"/>
      <c r="R15" s="22"/>
    </row>
    <row r="16" spans="1:19" ht="33.65" customHeight="1" x14ac:dyDescent="0.35">
      <c r="A16" t="s">
        <v>64</v>
      </c>
      <c r="B16" s="27" t="s">
        <v>11</v>
      </c>
      <c r="C16" s="13">
        <v>1360998</v>
      </c>
      <c r="D16" s="12">
        <v>1311</v>
      </c>
      <c r="E16" s="12">
        <v>732</v>
      </c>
      <c r="F16" s="13">
        <v>4806</v>
      </c>
      <c r="G16" s="12">
        <v>215</v>
      </c>
      <c r="H16" s="12">
        <v>2577</v>
      </c>
      <c r="I16" s="12">
        <v>577</v>
      </c>
      <c r="J16" s="4">
        <v>3613</v>
      </c>
      <c r="K16" s="4">
        <v>3414</v>
      </c>
      <c r="L16" s="5">
        <v>199</v>
      </c>
      <c r="M16" s="12">
        <v>591</v>
      </c>
      <c r="N16" s="20">
        <v>299</v>
      </c>
      <c r="O16" s="22"/>
      <c r="P16" s="22"/>
      <c r="Q16" s="22"/>
      <c r="R16" s="22"/>
    </row>
    <row r="17" spans="1:18" ht="33.65" customHeight="1" thickBot="1" x14ac:dyDescent="0.4">
      <c r="A17" t="s">
        <v>65</v>
      </c>
      <c r="B17" s="27" t="s">
        <v>12</v>
      </c>
      <c r="C17" s="13">
        <v>640909</v>
      </c>
      <c r="D17" s="12">
        <v>1329</v>
      </c>
      <c r="E17" s="12">
        <v>661</v>
      </c>
      <c r="F17" s="12">
        <v>4918</v>
      </c>
      <c r="G17" s="12">
        <v>196</v>
      </c>
      <c r="H17" s="12">
        <v>2399</v>
      </c>
      <c r="I17" s="12">
        <v>492</v>
      </c>
      <c r="J17" s="4">
        <v>3328</v>
      </c>
      <c r="K17" s="4">
        <v>3189</v>
      </c>
      <c r="L17" s="5">
        <v>139</v>
      </c>
      <c r="M17" s="12">
        <v>557</v>
      </c>
      <c r="N17" s="20">
        <v>254</v>
      </c>
      <c r="O17" s="22"/>
      <c r="P17" s="22"/>
      <c r="Q17" s="22"/>
      <c r="R17" s="22"/>
    </row>
    <row r="18" spans="1:18" ht="33.65" customHeight="1" thickBot="1" x14ac:dyDescent="0.4">
      <c r="A18" t="s">
        <v>66</v>
      </c>
      <c r="B18" s="17" t="s">
        <v>13</v>
      </c>
      <c r="C18" s="18">
        <v>10626430</v>
      </c>
      <c r="D18" s="14">
        <v>1106</v>
      </c>
      <c r="E18" s="14">
        <v>612</v>
      </c>
      <c r="F18" s="36">
        <v>3760</v>
      </c>
      <c r="G18" s="14">
        <v>164</v>
      </c>
      <c r="H18" s="14">
        <v>2605</v>
      </c>
      <c r="I18" s="14">
        <v>501</v>
      </c>
      <c r="J18" s="6">
        <v>3325</v>
      </c>
      <c r="K18" s="7">
        <v>3161</v>
      </c>
      <c r="L18" s="8">
        <v>163</v>
      </c>
      <c r="M18" s="14">
        <v>542</v>
      </c>
      <c r="N18" s="15">
        <v>259</v>
      </c>
      <c r="O18" s="24"/>
      <c r="P18" s="24"/>
      <c r="Q18" s="24"/>
      <c r="R18" s="24"/>
    </row>
    <row r="22" spans="1:18" x14ac:dyDescent="0.35">
      <c r="B22" s="26" t="s">
        <v>1</v>
      </c>
      <c r="D22">
        <f>D5-$D$18</f>
        <v>-157</v>
      </c>
      <c r="E22">
        <f>E5-$E$18</f>
        <v>16</v>
      </c>
      <c r="F22" s="35">
        <f>F5-$F$18</f>
        <v>-467</v>
      </c>
      <c r="G22">
        <f>G5-$G$18</f>
        <v>-55</v>
      </c>
      <c r="H22">
        <f>H5-$H$18</f>
        <v>126</v>
      </c>
      <c r="I22">
        <f>I5-$I$18</f>
        <v>-1</v>
      </c>
      <c r="J22">
        <f>J5-$J$18</f>
        <v>1112</v>
      </c>
      <c r="K22">
        <f>K5-$K$18</f>
        <v>1125</v>
      </c>
      <c r="L22">
        <f>L5-$N$18</f>
        <v>-108</v>
      </c>
      <c r="M22">
        <f>M5-$M$18</f>
        <v>-30</v>
      </c>
      <c r="N22">
        <f>N5-$N$18</f>
        <v>-8</v>
      </c>
    </row>
    <row r="23" spans="1:18" x14ac:dyDescent="0.35">
      <c r="B23" s="27" t="s">
        <v>2</v>
      </c>
      <c r="D23">
        <f t="shared" ref="D23:D34" si="0">D6-$D$18</f>
        <v>-137</v>
      </c>
      <c r="E23">
        <f t="shared" ref="E23:E34" si="1">E6-$E$18</f>
        <v>-91</v>
      </c>
      <c r="F23" s="35">
        <f t="shared" ref="F23:F34" si="2">F6-$F$18</f>
        <v>534</v>
      </c>
      <c r="G23">
        <f t="shared" ref="G23:G34" si="3">G6-$G$18</f>
        <v>17</v>
      </c>
      <c r="H23">
        <f t="shared" ref="H23:H34" si="4">H6-$H$18</f>
        <v>-220</v>
      </c>
      <c r="I23">
        <f t="shared" ref="I23:I34" si="5">I6-$I$18</f>
        <v>-54</v>
      </c>
      <c r="J23">
        <f t="shared" ref="J23:J34" si="6">J6-$J$18</f>
        <v>-280</v>
      </c>
      <c r="K23">
        <f t="shared" ref="K23:K34" si="7">K6-$K$18</f>
        <v>-228</v>
      </c>
      <c r="L23">
        <f t="shared" ref="L23:L34" si="8">L6-$N$18</f>
        <v>-147</v>
      </c>
      <c r="M23">
        <f t="shared" ref="M23:M34" si="9">M6-$M$18</f>
        <v>11</v>
      </c>
      <c r="N23">
        <f t="shared" ref="N23:N34" si="10">N6-$N$18</f>
        <v>0</v>
      </c>
    </row>
    <row r="24" spans="1:18" x14ac:dyDescent="0.35">
      <c r="B24" s="27" t="s">
        <v>3</v>
      </c>
      <c r="D24">
        <f t="shared" si="0"/>
        <v>-90</v>
      </c>
      <c r="E24">
        <f t="shared" si="1"/>
        <v>-43</v>
      </c>
      <c r="F24" s="35">
        <f t="shared" si="2"/>
        <v>173</v>
      </c>
      <c r="G24">
        <f t="shared" si="3"/>
        <v>-18</v>
      </c>
      <c r="H24">
        <f t="shared" si="4"/>
        <v>-131</v>
      </c>
      <c r="I24">
        <f t="shared" si="5"/>
        <v>-37</v>
      </c>
      <c r="J24">
        <f t="shared" si="6"/>
        <v>519</v>
      </c>
      <c r="K24">
        <f t="shared" si="7"/>
        <v>367</v>
      </c>
      <c r="L24">
        <f t="shared" si="8"/>
        <v>57</v>
      </c>
      <c r="M24">
        <f t="shared" si="9"/>
        <v>0</v>
      </c>
      <c r="N24">
        <f t="shared" si="10"/>
        <v>-14</v>
      </c>
    </row>
    <row r="25" spans="1:18" x14ac:dyDescent="0.35">
      <c r="B25" s="27" t="s">
        <v>4</v>
      </c>
      <c r="D25">
        <f t="shared" si="0"/>
        <v>-78</v>
      </c>
      <c r="E25">
        <f t="shared" si="1"/>
        <v>-76</v>
      </c>
      <c r="F25" s="35">
        <f t="shared" si="2"/>
        <v>210</v>
      </c>
      <c r="G25">
        <f t="shared" si="3"/>
        <v>-27</v>
      </c>
      <c r="H25">
        <f t="shared" si="4"/>
        <v>-32</v>
      </c>
      <c r="I25">
        <f t="shared" si="5"/>
        <v>-58</v>
      </c>
      <c r="J25">
        <f t="shared" si="6"/>
        <v>-818</v>
      </c>
      <c r="K25">
        <f t="shared" si="7"/>
        <v>-808</v>
      </c>
      <c r="L25">
        <f t="shared" si="8"/>
        <v>-105</v>
      </c>
      <c r="M25">
        <f t="shared" si="9"/>
        <v>-42</v>
      </c>
      <c r="N25">
        <f t="shared" si="10"/>
        <v>-33</v>
      </c>
    </row>
    <row r="26" spans="1:18" x14ac:dyDescent="0.35">
      <c r="B26" s="27" t="s">
        <v>5</v>
      </c>
      <c r="D26">
        <f t="shared" si="0"/>
        <v>-72</v>
      </c>
      <c r="E26">
        <f t="shared" si="1"/>
        <v>11</v>
      </c>
      <c r="F26" s="35">
        <f t="shared" si="2"/>
        <v>94</v>
      </c>
      <c r="G26">
        <f t="shared" si="3"/>
        <v>6</v>
      </c>
      <c r="H26">
        <f t="shared" si="4"/>
        <v>-103</v>
      </c>
      <c r="I26">
        <f t="shared" si="5"/>
        <v>-41</v>
      </c>
      <c r="J26">
        <f t="shared" si="6"/>
        <v>-49</v>
      </c>
      <c r="K26">
        <f t="shared" si="7"/>
        <v>-25</v>
      </c>
      <c r="L26">
        <f t="shared" si="8"/>
        <v>-119</v>
      </c>
      <c r="M26">
        <f t="shared" si="9"/>
        <v>14</v>
      </c>
      <c r="N26">
        <f t="shared" si="10"/>
        <v>-21</v>
      </c>
    </row>
    <row r="27" spans="1:18" x14ac:dyDescent="0.35">
      <c r="B27" s="27" t="s">
        <v>6</v>
      </c>
      <c r="D27">
        <f t="shared" si="0"/>
        <v>-65</v>
      </c>
      <c r="E27">
        <f t="shared" si="1"/>
        <v>135</v>
      </c>
      <c r="F27" s="35">
        <f t="shared" si="2"/>
        <v>-548</v>
      </c>
      <c r="G27">
        <f t="shared" si="3"/>
        <v>-41</v>
      </c>
      <c r="H27">
        <f t="shared" si="4"/>
        <v>-350</v>
      </c>
      <c r="I27">
        <f t="shared" si="5"/>
        <v>-58</v>
      </c>
      <c r="J27">
        <f t="shared" si="6"/>
        <v>543</v>
      </c>
      <c r="K27">
        <f t="shared" si="7"/>
        <v>591</v>
      </c>
      <c r="L27">
        <f t="shared" si="8"/>
        <v>-143</v>
      </c>
      <c r="M27">
        <f t="shared" si="9"/>
        <v>38</v>
      </c>
      <c r="N27">
        <f t="shared" si="10"/>
        <v>0</v>
      </c>
    </row>
    <row r="28" spans="1:18" x14ac:dyDescent="0.35">
      <c r="B28" s="27" t="s">
        <v>15</v>
      </c>
      <c r="D28">
        <f t="shared" si="0"/>
        <v>-56</v>
      </c>
      <c r="E28">
        <f t="shared" si="1"/>
        <v>84</v>
      </c>
      <c r="F28" s="35">
        <f t="shared" si="2"/>
        <v>216</v>
      </c>
      <c r="G28">
        <f t="shared" si="3"/>
        <v>-18</v>
      </c>
      <c r="H28">
        <f t="shared" si="4"/>
        <v>-181</v>
      </c>
      <c r="I28">
        <f t="shared" si="5"/>
        <v>-25</v>
      </c>
      <c r="J28">
        <f t="shared" si="6"/>
        <v>-436</v>
      </c>
      <c r="K28">
        <f t="shared" si="7"/>
        <v>-440</v>
      </c>
      <c r="L28">
        <f t="shared" si="8"/>
        <v>-91</v>
      </c>
      <c r="M28">
        <f t="shared" si="9"/>
        <v>29</v>
      </c>
      <c r="N28">
        <f t="shared" si="10"/>
        <v>-12</v>
      </c>
    </row>
    <row r="29" spans="1:18" x14ac:dyDescent="0.35">
      <c r="B29" s="27" t="s">
        <v>7</v>
      </c>
      <c r="D29">
        <f t="shared" si="0"/>
        <v>-20</v>
      </c>
      <c r="E29">
        <f t="shared" si="1"/>
        <v>-138</v>
      </c>
      <c r="F29" s="35">
        <f t="shared" si="2"/>
        <v>1706</v>
      </c>
      <c r="G29">
        <f t="shared" si="3"/>
        <v>-7</v>
      </c>
      <c r="H29">
        <f t="shared" si="4"/>
        <v>-18</v>
      </c>
      <c r="I29">
        <f t="shared" si="5"/>
        <v>15</v>
      </c>
      <c r="J29">
        <f t="shared" si="6"/>
        <v>245</v>
      </c>
      <c r="K29">
        <f t="shared" si="7"/>
        <v>258</v>
      </c>
      <c r="L29">
        <f t="shared" si="8"/>
        <v>-108</v>
      </c>
      <c r="M29">
        <f t="shared" si="9"/>
        <v>-19</v>
      </c>
      <c r="N29">
        <f t="shared" si="10"/>
        <v>18</v>
      </c>
    </row>
    <row r="30" spans="1:18" x14ac:dyDescent="0.35">
      <c r="B30" s="27" t="s">
        <v>8</v>
      </c>
      <c r="D30">
        <f t="shared" si="0"/>
        <v>16</v>
      </c>
      <c r="E30">
        <f t="shared" si="1"/>
        <v>-152</v>
      </c>
      <c r="F30" s="35">
        <f t="shared" si="2"/>
        <v>-145</v>
      </c>
      <c r="G30">
        <f t="shared" si="3"/>
        <v>-15</v>
      </c>
      <c r="H30">
        <f t="shared" si="4"/>
        <v>410</v>
      </c>
      <c r="I30">
        <f t="shared" si="5"/>
        <v>83</v>
      </c>
      <c r="J30">
        <f t="shared" si="6"/>
        <v>-191</v>
      </c>
      <c r="K30">
        <f t="shared" si="7"/>
        <v>-193</v>
      </c>
      <c r="L30">
        <f t="shared" si="8"/>
        <v>-93</v>
      </c>
      <c r="M30">
        <f t="shared" si="9"/>
        <v>-48</v>
      </c>
      <c r="N30">
        <f t="shared" si="10"/>
        <v>9</v>
      </c>
    </row>
    <row r="31" spans="1:18" x14ac:dyDescent="0.35">
      <c r="B31" s="27" t="s">
        <v>9</v>
      </c>
      <c r="D31">
        <f t="shared" si="0"/>
        <v>53</v>
      </c>
      <c r="E31">
        <f t="shared" si="1"/>
        <v>-69</v>
      </c>
      <c r="F31" s="35">
        <f t="shared" si="2"/>
        <v>1654</v>
      </c>
      <c r="G31">
        <f t="shared" si="3"/>
        <v>17</v>
      </c>
      <c r="H31">
        <f t="shared" si="4"/>
        <v>623</v>
      </c>
      <c r="I31">
        <f t="shared" si="5"/>
        <v>89</v>
      </c>
      <c r="J31">
        <f t="shared" si="6"/>
        <v>-987</v>
      </c>
      <c r="K31">
        <f t="shared" si="7"/>
        <v>-1019</v>
      </c>
      <c r="L31">
        <f t="shared" si="8"/>
        <v>-63</v>
      </c>
      <c r="M31">
        <f t="shared" si="9"/>
        <v>-9</v>
      </c>
      <c r="N31">
        <f t="shared" si="10"/>
        <v>28</v>
      </c>
    </row>
    <row r="32" spans="1:18" x14ac:dyDescent="0.35">
      <c r="B32" s="27" t="s">
        <v>10</v>
      </c>
      <c r="D32">
        <f t="shared" si="0"/>
        <v>163</v>
      </c>
      <c r="E32">
        <f t="shared" si="1"/>
        <v>-25</v>
      </c>
      <c r="F32" s="35">
        <f t="shared" si="2"/>
        <v>1296</v>
      </c>
      <c r="G32">
        <f t="shared" si="3"/>
        <v>55</v>
      </c>
      <c r="H32">
        <f t="shared" si="4"/>
        <v>111</v>
      </c>
      <c r="I32">
        <f t="shared" si="5"/>
        <v>26</v>
      </c>
      <c r="J32">
        <f t="shared" si="6"/>
        <v>46</v>
      </c>
      <c r="K32">
        <f t="shared" si="7"/>
        <v>94</v>
      </c>
      <c r="L32">
        <f t="shared" si="8"/>
        <v>-143</v>
      </c>
      <c r="M32">
        <f t="shared" si="9"/>
        <v>-4</v>
      </c>
      <c r="N32">
        <f t="shared" si="10"/>
        <v>1</v>
      </c>
    </row>
    <row r="33" spans="2:14" x14ac:dyDescent="0.35">
      <c r="B33" s="27" t="s">
        <v>11</v>
      </c>
      <c r="D33">
        <f t="shared" si="0"/>
        <v>205</v>
      </c>
      <c r="E33">
        <f t="shared" si="1"/>
        <v>120</v>
      </c>
      <c r="F33" s="35">
        <f t="shared" si="2"/>
        <v>1046</v>
      </c>
      <c r="G33">
        <f t="shared" si="3"/>
        <v>51</v>
      </c>
      <c r="H33">
        <f t="shared" si="4"/>
        <v>-28</v>
      </c>
      <c r="I33">
        <f t="shared" si="5"/>
        <v>76</v>
      </c>
      <c r="J33">
        <f t="shared" si="6"/>
        <v>288</v>
      </c>
      <c r="K33">
        <f t="shared" si="7"/>
        <v>253</v>
      </c>
      <c r="L33">
        <f t="shared" si="8"/>
        <v>-60</v>
      </c>
      <c r="M33">
        <f t="shared" si="9"/>
        <v>49</v>
      </c>
      <c r="N33">
        <f t="shared" si="10"/>
        <v>40</v>
      </c>
    </row>
    <row r="34" spans="2:14" x14ac:dyDescent="0.35">
      <c r="B34" s="27" t="s">
        <v>12</v>
      </c>
      <c r="D34">
        <f t="shared" si="0"/>
        <v>223</v>
      </c>
      <c r="E34">
        <f t="shared" si="1"/>
        <v>49</v>
      </c>
      <c r="F34" s="35">
        <f t="shared" si="2"/>
        <v>1158</v>
      </c>
      <c r="G34">
        <f t="shared" si="3"/>
        <v>32</v>
      </c>
      <c r="H34">
        <f t="shared" si="4"/>
        <v>-206</v>
      </c>
      <c r="I34">
        <f t="shared" si="5"/>
        <v>-9</v>
      </c>
      <c r="J34">
        <f t="shared" si="6"/>
        <v>3</v>
      </c>
      <c r="K34">
        <f t="shared" si="7"/>
        <v>28</v>
      </c>
      <c r="L34">
        <f t="shared" si="8"/>
        <v>-120</v>
      </c>
      <c r="M34">
        <f t="shared" si="9"/>
        <v>15</v>
      </c>
      <c r="N34">
        <f t="shared" si="10"/>
        <v>-5</v>
      </c>
    </row>
  </sheetData>
  <pageMargins left="0.25" right="0.25" top="0.75" bottom="0.75" header="0.3" footer="0.3"/>
  <pageSetup paperSize="9" scale="7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16"/>
  <sheetViews>
    <sheetView workbookViewId="0">
      <selection activeCell="E10" sqref="E10"/>
    </sheetView>
  </sheetViews>
  <sheetFormatPr defaultRowHeight="14.5" x14ac:dyDescent="0.35"/>
  <sheetData>
    <row r="2" spans="1:9" x14ac:dyDescent="0.35">
      <c r="A2" t="s">
        <v>67</v>
      </c>
      <c r="B2" t="s">
        <v>53</v>
      </c>
      <c r="C2" t="s">
        <v>67</v>
      </c>
      <c r="D2" t="s">
        <v>68</v>
      </c>
      <c r="F2" t="s">
        <v>53</v>
      </c>
      <c r="G2" t="s">
        <v>69</v>
      </c>
      <c r="H2">
        <v>109</v>
      </c>
      <c r="I2" t="s">
        <v>68</v>
      </c>
    </row>
    <row r="3" spans="1:9" x14ac:dyDescent="0.35">
      <c r="A3" t="s">
        <v>67</v>
      </c>
      <c r="B3" t="s">
        <v>54</v>
      </c>
      <c r="C3" t="s">
        <v>67</v>
      </c>
      <c r="D3" t="s">
        <v>68</v>
      </c>
      <c r="F3" t="s">
        <v>54</v>
      </c>
      <c r="G3" t="s">
        <v>69</v>
      </c>
      <c r="H3">
        <v>181</v>
      </c>
      <c r="I3" t="s">
        <v>68</v>
      </c>
    </row>
    <row r="4" spans="1:9" x14ac:dyDescent="0.35">
      <c r="A4" t="s">
        <v>67</v>
      </c>
      <c r="B4" t="s">
        <v>55</v>
      </c>
      <c r="C4" t="s">
        <v>67</v>
      </c>
      <c r="D4" t="s">
        <v>68</v>
      </c>
      <c r="F4" t="s">
        <v>55</v>
      </c>
      <c r="G4" t="s">
        <v>69</v>
      </c>
      <c r="H4">
        <v>146</v>
      </c>
      <c r="I4" t="s">
        <v>68</v>
      </c>
    </row>
    <row r="5" spans="1:9" x14ac:dyDescent="0.35">
      <c r="A5" t="s">
        <v>67</v>
      </c>
      <c r="B5" t="s">
        <v>56</v>
      </c>
      <c r="C5" t="s">
        <v>67</v>
      </c>
      <c r="D5" t="s">
        <v>68</v>
      </c>
      <c r="F5" t="s">
        <v>56</v>
      </c>
      <c r="G5" t="s">
        <v>69</v>
      </c>
      <c r="H5">
        <v>137</v>
      </c>
      <c r="I5" t="s">
        <v>68</v>
      </c>
    </row>
    <row r="6" spans="1:9" x14ac:dyDescent="0.35">
      <c r="A6" t="s">
        <v>67</v>
      </c>
      <c r="B6" t="s">
        <v>57</v>
      </c>
      <c r="C6" t="s">
        <v>67</v>
      </c>
      <c r="D6" t="s">
        <v>68</v>
      </c>
      <c r="F6" t="s">
        <v>57</v>
      </c>
      <c r="G6" t="s">
        <v>69</v>
      </c>
      <c r="H6">
        <v>170</v>
      </c>
      <c r="I6" t="s">
        <v>68</v>
      </c>
    </row>
    <row r="7" spans="1:9" x14ac:dyDescent="0.35">
      <c r="A7" t="s">
        <v>67</v>
      </c>
      <c r="B7" t="s">
        <v>58</v>
      </c>
      <c r="C7" t="s">
        <v>67</v>
      </c>
      <c r="D7" t="s">
        <v>68</v>
      </c>
      <c r="F7" t="s">
        <v>58</v>
      </c>
      <c r="G7" t="s">
        <v>69</v>
      </c>
      <c r="H7">
        <v>123</v>
      </c>
      <c r="I7" t="s">
        <v>68</v>
      </c>
    </row>
    <row r="8" spans="1:9" x14ac:dyDescent="0.35">
      <c r="A8" t="s">
        <v>67</v>
      </c>
      <c r="B8" t="s">
        <v>59</v>
      </c>
      <c r="C8" t="s">
        <v>67</v>
      </c>
      <c r="D8" t="s">
        <v>68</v>
      </c>
      <c r="F8" t="s">
        <v>59</v>
      </c>
      <c r="G8" t="s">
        <v>69</v>
      </c>
      <c r="H8">
        <v>146</v>
      </c>
      <c r="I8" t="s">
        <v>68</v>
      </c>
    </row>
    <row r="9" spans="1:9" x14ac:dyDescent="0.35">
      <c r="A9" t="s">
        <v>67</v>
      </c>
      <c r="B9" t="s">
        <v>60</v>
      </c>
      <c r="C9" t="s">
        <v>67</v>
      </c>
      <c r="D9" t="s">
        <v>68</v>
      </c>
      <c r="F9" t="s">
        <v>60</v>
      </c>
      <c r="G9" t="s">
        <v>69</v>
      </c>
      <c r="H9">
        <v>157</v>
      </c>
      <c r="I9" t="s">
        <v>68</v>
      </c>
    </row>
    <row r="10" spans="1:9" x14ac:dyDescent="0.35">
      <c r="A10" t="s">
        <v>67</v>
      </c>
      <c r="B10" t="s">
        <v>61</v>
      </c>
      <c r="C10" t="s">
        <v>67</v>
      </c>
      <c r="D10" t="s">
        <v>68</v>
      </c>
      <c r="F10" t="s">
        <v>61</v>
      </c>
      <c r="G10" t="s">
        <v>69</v>
      </c>
      <c r="H10">
        <v>149</v>
      </c>
      <c r="I10" t="s">
        <v>68</v>
      </c>
    </row>
    <row r="11" spans="1:9" x14ac:dyDescent="0.35">
      <c r="A11" t="s">
        <v>67</v>
      </c>
      <c r="B11" t="s">
        <v>62</v>
      </c>
      <c r="C11" t="s">
        <v>67</v>
      </c>
      <c r="D11" t="s">
        <v>68</v>
      </c>
      <c r="F11" t="s">
        <v>62</v>
      </c>
      <c r="G11" t="s">
        <v>69</v>
      </c>
      <c r="H11">
        <v>181</v>
      </c>
      <c r="I11" t="s">
        <v>68</v>
      </c>
    </row>
    <row r="12" spans="1:9" x14ac:dyDescent="0.35">
      <c r="A12" t="s">
        <v>67</v>
      </c>
      <c r="B12" t="s">
        <v>63</v>
      </c>
      <c r="C12" t="s">
        <v>67</v>
      </c>
      <c r="D12" t="s">
        <v>68</v>
      </c>
      <c r="F12" t="s">
        <v>63</v>
      </c>
      <c r="G12" t="s">
        <v>69</v>
      </c>
      <c r="H12">
        <v>219</v>
      </c>
      <c r="I12" t="s">
        <v>68</v>
      </c>
    </row>
    <row r="13" spans="1:9" x14ac:dyDescent="0.35">
      <c r="A13" t="s">
        <v>67</v>
      </c>
      <c r="B13" t="s">
        <v>64</v>
      </c>
      <c r="C13" t="s">
        <v>67</v>
      </c>
      <c r="D13" t="s">
        <v>68</v>
      </c>
      <c r="F13" t="s">
        <v>64</v>
      </c>
      <c r="G13" t="s">
        <v>69</v>
      </c>
      <c r="H13">
        <v>215</v>
      </c>
      <c r="I13" t="s">
        <v>68</v>
      </c>
    </row>
    <row r="14" spans="1:9" x14ac:dyDescent="0.35">
      <c r="A14" t="s">
        <v>67</v>
      </c>
      <c r="B14" t="s">
        <v>65</v>
      </c>
      <c r="C14" t="s">
        <v>67</v>
      </c>
      <c r="D14" t="s">
        <v>68</v>
      </c>
      <c r="F14" t="s">
        <v>65</v>
      </c>
      <c r="G14" t="s">
        <v>69</v>
      </c>
      <c r="H14">
        <v>196</v>
      </c>
      <c r="I14" t="s">
        <v>68</v>
      </c>
    </row>
    <row r="15" spans="1:9" x14ac:dyDescent="0.35">
      <c r="F15" t="s">
        <v>66</v>
      </c>
      <c r="G15" t="s">
        <v>69</v>
      </c>
      <c r="H15">
        <v>164</v>
      </c>
    </row>
    <row r="16" spans="1:9" x14ac:dyDescent="0.35">
      <c r="A16" t="s">
        <v>67</v>
      </c>
      <c r="B16" t="s">
        <v>66</v>
      </c>
      <c r="C16" t="s">
        <v>67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List1</vt:lpstr>
      <vt:lpstr>List2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honza</dc:creator>
  <cp:lastModifiedBy>Simon Buryan</cp:lastModifiedBy>
  <cp:lastPrinted>2020-02-27T14:10:02Z</cp:lastPrinted>
  <dcterms:created xsi:type="dcterms:W3CDTF">2020-02-27T10:11:07Z</dcterms:created>
  <dcterms:modified xsi:type="dcterms:W3CDTF">2020-08-23T08:22:46Z</dcterms:modified>
</cp:coreProperties>
</file>